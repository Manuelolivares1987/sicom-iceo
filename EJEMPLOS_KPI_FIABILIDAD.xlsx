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finiciones" state="visible" r:id="rId4"/>
    <sheet sheetId="2" name="Ejemplo A - Sano" state="visible" r:id="rId5"/>
    <sheet sheetId="3" name="Ejemplo B - Problema" state="visible" r:id="rId6"/>
  </sheets>
  <calcPr calcId="171027"/>
</workbook>
</file>

<file path=xl/sharedStrings.xml><?xml version="1.0" encoding="utf-8"?>
<sst xmlns="http://schemas.openxmlformats.org/spreadsheetml/2006/main" count="143" uniqueCount="62">
  <si>
    <t>Definiciones de los KPI</t>
  </si>
  <si>
    <t>Estados UP (operativo)</t>
  </si>
  <si>
    <t>A, C, L, U, D, V</t>
  </si>
  <si>
    <t>Estados DOWN (no disponible)</t>
  </si>
  <si>
    <t>M, T, F, R, H  (Habilitación y Recepción bajan la disponibilidad)</t>
  </si>
  <si>
    <t>Falla</t>
  </si>
  <si>
    <t>Cada episodio (racha de días consecutivos) en M, T o F</t>
  </si>
  <si>
    <t>Disp. Física</t>
  </si>
  <si>
    <t>UP ÷ Total</t>
  </si>
  <si>
    <t>MTBF</t>
  </si>
  <si>
    <t>UP ÷ nº fallas</t>
  </si>
  <si>
    <t>MTTR</t>
  </si>
  <si>
    <t>(M + T) ÷ nº fallas  — solo reparación con HH; F (sin HH) no es reparación</t>
  </si>
  <si>
    <t>Disp. Inherente</t>
  </si>
  <si>
    <t>MTBF ÷ (MTBF + MTTR)  — solo reparación activa; difiere de la física por F/R/H</t>
  </si>
  <si>
    <t>Utilización</t>
  </si>
  <si>
    <t>(A + L + C) ÷ Total  — comercial, NO entra al OEE</t>
  </si>
  <si>
    <t>Calidad del trabajo</t>
  </si>
  <si>
    <t>fallas primarias ÷ fallas totales  — castiga reincidencia (en el ejemplo, 1 mes ⇒ 1 ÷ fallas)</t>
  </si>
  <si>
    <t>Rep/mes</t>
  </si>
  <si>
    <t>Fallas que se repiten dentro del mismo mes</t>
  </si>
  <si>
    <t>OEE</t>
  </si>
  <si>
    <t>Disp. Física × Calidad del trabajo</t>
  </si>
  <si>
    <t>Ejemplo de KPI de Fiabilidad — Ejemplo A - Sano</t>
  </si>
  <si>
    <t>Equipo sano: 1 sola mantención, sin fallas repetidas → OEE alto.</t>
  </si>
  <si>
    <t>Día</t>
  </si>
  <si>
    <t>Estado</t>
  </si>
  <si>
    <t>Inicio falla</t>
  </si>
  <si>
    <t>A</t>
  </si>
  <si>
    <t>CONTEO DE DÍAS POR ESTADO</t>
  </si>
  <si>
    <t>A — Arrendado</t>
  </si>
  <si>
    <t>C — En contrato</t>
  </si>
  <si>
    <t>L — Leasing</t>
  </si>
  <si>
    <t>U — Uso interno</t>
  </si>
  <si>
    <t>D — Disponible</t>
  </si>
  <si>
    <t>V — Venta</t>
  </si>
  <si>
    <t>H — Habilitación</t>
  </si>
  <si>
    <t>R — Recepción</t>
  </si>
  <si>
    <t>M — Mantención (&gt;1d)</t>
  </si>
  <si>
    <t>T — Taller (&lt;1d)</t>
  </si>
  <si>
    <t>F — Fuera de servicio</t>
  </si>
  <si>
    <t>Total días</t>
  </si>
  <si>
    <t>M</t>
  </si>
  <si>
    <t>INDICADORES (KPI)</t>
  </si>
  <si>
    <t>UP (operativo) = A+C+L+U+D+V</t>
  </si>
  <si>
    <t>DOWN (no disp.) = M+T+F+R+H</t>
  </si>
  <si>
    <t>Fallas (episodios M/T/F)</t>
  </si>
  <si>
    <t>Disp. Física = UP / Total</t>
  </si>
  <si>
    <t>MTBF = UP / Fallas (días)</t>
  </si>
  <si>
    <t>MTTR = (M+T) / Fallas (días)</t>
  </si>
  <si>
    <t>Disp. Inherente = MTBF/(MTBF+MTTR)</t>
  </si>
  <si>
    <t>Utilización = (A+L+C) / Total</t>
  </si>
  <si>
    <t>Rep/mes (reincidencia) = Fallas−1</t>
  </si>
  <si>
    <t>Calidad del trabajo = 1 / Fallas</t>
  </si>
  <si>
    <t>OEE = Disp. Física × Calidad</t>
  </si>
  <si>
    <t>D</t>
  </si>
  <si>
    <t>Ejemplo de KPI de Fiabilidad — Ejemplo B - Problema</t>
  </si>
  <si>
    <t>Equipo problema: 3 fallas el mismo mes + días F/R/H → OEE bajo.</t>
  </si>
  <si>
    <t>T</t>
  </si>
  <si>
    <t>H</t>
  </si>
  <si>
    <t>R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</si>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</sst>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0.0"/>
  </numFmts>
  <fonts count="6" x14ac:knownFonts="1">
    <font>
      <color theme="1"/>
      <family val="2"/>
      <scheme val="minor"/>
      <sz val="11"/>
      <name val="Calibri"/>
    </font>
    <font>
      <b/>
      <color rgb="FF0B2A4A"/>
      <sz val="14"/>
    </font>
    <font>
      <b/>
      <color rgb="FF0B2A4A"/>
    </font>
    <font>
      <i/>
      <color rgb="FF64748B"/>
    </font>
    <font>
      <b/>
      <color rgb="FFFFFFFF"/>
    </font>
    <font>
      <b/>
    </font>
  </fonts>
  <fills count="12">
    <fill>
      <patternFill patternType="none"/>
    </fill>
    <fill>
      <patternFill patternType="gray125"/>
    </fill>
    <fill>
      <patternFill patternType="solid">
        <fgColor rgb="FF0B2A4A"/>
      </patternFill>
    </fill>
    <fill>
      <patternFill patternType="solid">
        <fgColor rgb="FF16A34A"/>
      </patternFill>
    </fill>
    <fill>
      <patternFill patternType="solid">
        <fgColor rgb="FFF1F5F9"/>
      </patternFill>
    </fill>
    <fill>
      <patternFill patternType="solid">
        <fgColor rgb="FFF59E0B"/>
      </patternFill>
    </fill>
    <fill>
      <patternFill patternType="solid">
        <fgColor rgb="FFFEF3C7"/>
      </patternFill>
    </fill>
    <fill>
      <patternFill patternType="solid">
        <fgColor rgb="FF2563EB"/>
      </patternFill>
    </fill>
    <fill>
      <patternFill patternType="solid">
        <fgColor rgb="FFFB923C"/>
      </patternFill>
    </fill>
    <fill>
      <patternFill patternType="solid">
        <fgColor rgb="FFA855F7"/>
      </patternFill>
    </fill>
    <fill>
      <patternFill patternType="solid">
        <fgColor rgb="FF06B6D4"/>
      </patternFill>
    </fill>
    <fill>
      <patternFill patternType="solid">
        <fgColor rgb="FFDC262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3" fillId="0" borderId="0" xfId="0" applyFont="1"/>
    <xf numFmtId="0" fontId="4" fillId="2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5" fillId="4" borderId="0" xfId="0" applyFont="1" applyFill="1"/>
    <xf numFmtId="0" fontId="4" fillId="5" borderId="0" xfId="0" applyFont="1" applyFill="1" applyAlignment="1">
      <alignment horizontal="center"/>
    </xf>
    <xf numFmtId="164" fontId="0" fillId="0" borderId="0" xfId="0" applyNumberFormat="1"/>
    <xf numFmtId="165" fontId="0" fillId="0" borderId="0" xfId="0" applyNumberFormat="1"/>
    <xf numFmtId="0" fontId="5" fillId="6" borderId="0" xfId="0" applyFont="1" applyFill="1"/>
    <xf numFmtId="164" fontId="5" fillId="6" borderId="0" xfId="0" applyNumberFormat="1" applyFont="1" applyFill="1"/>
    <xf numFmtId="0" fontId="4" fillId="7" borderId="0" xfId="0" applyFont="1" applyFill="1" applyAlignment="1">
      <alignment horizontal="center"/>
    </xf>
    <xf numFmtId="0" fontId="4" fillId="8" borderId="0" xfId="0" applyFont="1" applyFill="1" applyAlignment="1">
      <alignment horizontal="center"/>
    </xf>
    <xf numFmtId="0" fontId="4" fillId="9" borderId="0" xfId="0" applyFont="1" applyFill="1" applyAlignment="1">
      <alignment horizontal="center"/>
    </xf>
    <xf numFmtId="0" fontId="4" fillId="10" borderId="0" xfId="0" applyFont="1" applyFill="1" applyAlignment="1">
      <alignment horizontal="center"/>
    </xf>
    <xf numFmtId="0" fontId="4" fillId="11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FormatPr defaultRowHeight="15" outlineLevelRow="0" outlineLevelCol="0" x14ac:dyDescent="55"/>
  <cols>
    <col min="1" max="1" width="28" customWidth="1"/>
    <col min="2" max="2" width="70" customWidth="1"/>
  </cols>
  <sheetData>
    <row r="1" spans="1:2" x14ac:dyDescent="0.25">
      <c r="A1" s="1" t="s">
        <v>0</v>
      </c>
      <c r="B1" s="1"/>
    </row>
    <row r="3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s="3" t="s">
        <v>4</v>
      </c>
    </row>
    <row r="5" spans="1:2" x14ac:dyDescent="0.25">
      <c r="A5" s="2" t="s">
        <v>5</v>
      </c>
      <c r="B5" s="3" t="s">
        <v>6</v>
      </c>
    </row>
    <row r="6" spans="1:2" x14ac:dyDescent="0.25">
      <c r="A6" s="2" t="s">
        <v>7</v>
      </c>
      <c r="B6" s="3" t="s">
        <v>8</v>
      </c>
    </row>
    <row r="7" spans="1:2" x14ac:dyDescent="0.25">
      <c r="A7" s="2" t="s">
        <v>9</v>
      </c>
      <c r="B7" s="3" t="s">
        <v>10</v>
      </c>
    </row>
    <row r="8" spans="1:2" x14ac:dyDescent="0.25">
      <c r="A8" s="2" t="s">
        <v>11</v>
      </c>
      <c r="B8" s="3" t="s">
        <v>12</v>
      </c>
    </row>
    <row r="9" spans="1:2" x14ac:dyDescent="0.25">
      <c r="A9" s="2" t="s">
        <v>13</v>
      </c>
      <c r="B9" s="3" t="s">
        <v>14</v>
      </c>
    </row>
    <row r="10" spans="1:2" x14ac:dyDescent="0.25">
      <c r="A10" s="2" t="s">
        <v>15</v>
      </c>
      <c r="B10" s="3" t="s">
        <v>16</v>
      </c>
    </row>
    <row r="11" spans="1:2" x14ac:dyDescent="0.25">
      <c r="A11" s="2" t="s">
        <v>17</v>
      </c>
      <c r="B11" s="3" t="s">
        <v>18</v>
      </c>
    </row>
    <row r="12" spans="1:2" x14ac:dyDescent="0.25">
      <c r="A12" s="2" t="s">
        <v>19</v>
      </c>
      <c r="B12" s="3" t="s">
        <v>20</v>
      </c>
    </row>
    <row r="13" spans="1:2" x14ac:dyDescent="0.25">
      <c r="A13" s="2" t="s">
        <v>21</v>
      </c>
      <c r="B13" s="3" t="s">
        <v>22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0" customWidth="1"/>
    <col min="3" max="3" width="12" customWidth="1"/>
    <col min="4" max="4" width="2" customWidth="1"/>
    <col min="5" max="5" width="34" customWidth="1"/>
    <col min="6" max="6" width="14" customWidth="1"/>
  </cols>
  <sheetData>
    <row r="1" spans="1:6" x14ac:dyDescent="0.25">
      <c r="A1" s="1" t="s">
        <v>23</v>
      </c>
      <c r="B1" s="1"/>
      <c r="C1" s="1"/>
      <c r="D1" s="1"/>
      <c r="E1" s="1"/>
      <c r="F1" s="1"/>
    </row>
    <row r="2" spans="1:6" x14ac:dyDescent="0.25">
      <c r="A2" s="4" t="s">
        <v>24</v>
      </c>
      <c r="B2" s="4"/>
      <c r="C2" s="4"/>
      <c r="D2" s="4"/>
      <c r="E2" s="4"/>
      <c r="F2" s="4"/>
    </row>
    <row r="3" spans="1:3" x14ac:dyDescent="0.25">
      <c r="A3" s="5" t="s">
        <v>25</v>
      </c>
      <c r="B3" s="5" t="s">
        <v>26</v>
      </c>
      <c r="C3" s="5" t="s">
        <v>27</v>
      </c>
    </row>
    <row r="4" spans="1:5" x14ac:dyDescent="0.25">
      <c r="A4">
        <v>1</v>
      </c>
      <c r="B4" s="6" t="s">
        <v>28</v>
      </c>
      <c r="C4" s="7">
        <f>IF(AND(OR(B4="M",B4="T",B4="F"),NOT(OR(B3="M",B3="T",B3="F"))),1,0)</f>
      </c>
      <c r="E4" s="2" t="s">
        <v>29</v>
      </c>
    </row>
    <row r="5" spans="1:6" x14ac:dyDescent="0.25">
      <c r="A5">
        <v>2</v>
      </c>
      <c r="B5" s="6" t="s">
        <v>28</v>
      </c>
      <c r="C5" s="7">
        <f>IF(AND(OR(B5="M",B5="T",B5="F"),NOT(OR(B4="M",B4="T",B4="F"))),1,0)</f>
      </c>
      <c r="E5" t="s">
        <v>30</v>
      </c>
      <c r="F5">
        <f>COUNTIF($B$4:$B$33,"A")</f>
      </c>
    </row>
    <row r="6" spans="1:6" x14ac:dyDescent="0.25">
      <c r="A6">
        <v>3</v>
      </c>
      <c r="B6" s="6" t="s">
        <v>28</v>
      </c>
      <c r="C6" s="7">
        <f>IF(AND(OR(B6="M",B6="T",B6="F"),NOT(OR(B5="M",B5="T",B5="F"))),1,0)</f>
      </c>
      <c r="E6" t="s">
        <v>31</v>
      </c>
      <c r="F6">
        <f>COUNTIF($B$4:$B$33,"C")</f>
      </c>
    </row>
    <row r="7" spans="1:6" x14ac:dyDescent="0.25">
      <c r="A7">
        <v>4</v>
      </c>
      <c r="B7" s="6" t="s">
        <v>28</v>
      </c>
      <c r="C7" s="7">
        <f>IF(AND(OR(B7="M",B7="T",B7="F"),NOT(OR(B6="M",B6="T",B6="F"))),1,0)</f>
      </c>
      <c r="E7" t="s">
        <v>32</v>
      </c>
      <c r="F7">
        <f>COUNTIF($B$4:$B$33,"L")</f>
      </c>
    </row>
    <row r="8" spans="1:6" x14ac:dyDescent="0.25">
      <c r="A8">
        <v>5</v>
      </c>
      <c r="B8" s="6" t="s">
        <v>28</v>
      </c>
      <c r="C8" s="7">
        <f>IF(AND(OR(B8="M",B8="T",B8="F"),NOT(OR(B7="M",B7="T",B7="F"))),1,0)</f>
      </c>
      <c r="E8" t="s">
        <v>33</v>
      </c>
      <c r="F8">
        <f>COUNTIF($B$4:$B$33,"U")</f>
      </c>
    </row>
    <row r="9" spans="1:6" x14ac:dyDescent="0.25">
      <c r="A9">
        <v>6</v>
      </c>
      <c r="B9" s="6" t="s">
        <v>28</v>
      </c>
      <c r="C9" s="7">
        <f>IF(AND(OR(B9="M",B9="T",B9="F"),NOT(OR(B8="M",B8="T",B8="F"))),1,0)</f>
      </c>
      <c r="E9" t="s">
        <v>34</v>
      </c>
      <c r="F9">
        <f>COUNTIF($B$4:$B$33,"D")</f>
      </c>
    </row>
    <row r="10" spans="1:6" x14ac:dyDescent="0.25">
      <c r="A10">
        <v>7</v>
      </c>
      <c r="B10" s="6" t="s">
        <v>28</v>
      </c>
      <c r="C10" s="7">
        <f>IF(AND(OR(B10="M",B10="T",B10="F"),NOT(OR(B9="M",B9="T",B9="F"))),1,0)</f>
      </c>
      <c r="E10" t="s">
        <v>35</v>
      </c>
      <c r="F10">
        <f>COUNTIF($B$4:$B$33,"V")</f>
      </c>
    </row>
    <row r="11" spans="1:6" x14ac:dyDescent="0.25">
      <c r="A11">
        <v>8</v>
      </c>
      <c r="B11" s="6" t="s">
        <v>28</v>
      </c>
      <c r="C11" s="7">
        <f>IF(AND(OR(B11="M",B11="T",B11="F"),NOT(OR(B10="M",B10="T",B10="F"))),1,0)</f>
      </c>
      <c r="E11" t="s">
        <v>36</v>
      </c>
      <c r="F11">
        <f>COUNTIF($B$4:$B$33,"H")</f>
      </c>
    </row>
    <row r="12" spans="1:6" x14ac:dyDescent="0.25">
      <c r="A12">
        <v>9</v>
      </c>
      <c r="B12" s="6" t="s">
        <v>28</v>
      </c>
      <c r="C12" s="7">
        <f>IF(AND(OR(B12="M",B12="T",B12="F"),NOT(OR(B11="M",B11="T",B11="F"))),1,0)</f>
      </c>
      <c r="E12" t="s">
        <v>37</v>
      </c>
      <c r="F12">
        <f>COUNTIF($B$4:$B$33,"R")</f>
      </c>
    </row>
    <row r="13" spans="1:6" x14ac:dyDescent="0.25">
      <c r="A13">
        <v>10</v>
      </c>
      <c r="B13" s="6" t="s">
        <v>28</v>
      </c>
      <c r="C13" s="7">
        <f>IF(AND(OR(B13="M",B13="T",B13="F"),NOT(OR(B12="M",B12="T",B12="F"))),1,0)</f>
      </c>
      <c r="E13" t="s">
        <v>38</v>
      </c>
      <c r="F13">
        <f>COUNTIF($B$4:$B$33,"M")</f>
      </c>
    </row>
    <row r="14" spans="1:6" x14ac:dyDescent="0.25">
      <c r="A14">
        <v>11</v>
      </c>
      <c r="B14" s="6" t="s">
        <v>28</v>
      </c>
      <c r="C14" s="7">
        <f>IF(AND(OR(B14="M",B14="T",B14="F"),NOT(OR(B13="M",B13="T",B13="F"))),1,0)</f>
      </c>
      <c r="E14" t="s">
        <v>39</v>
      </c>
      <c r="F14">
        <f>COUNTIF($B$4:$B$33,"T")</f>
      </c>
    </row>
    <row r="15" spans="1:6" x14ac:dyDescent="0.25">
      <c r="A15">
        <v>12</v>
      </c>
      <c r="B15" s="6" t="s">
        <v>28</v>
      </c>
      <c r="C15" s="7">
        <f>IF(AND(OR(B15="M",B15="T",B15="F"),NOT(OR(B14="M",B14="T",B14="F"))),1,0)</f>
      </c>
      <c r="E15" t="s">
        <v>40</v>
      </c>
      <c r="F15">
        <f>COUNTIF($B$4:$B$33,"F")</f>
      </c>
    </row>
    <row r="16" spans="1:6" x14ac:dyDescent="0.25">
      <c r="A16">
        <v>13</v>
      </c>
      <c r="B16" s="6" t="s">
        <v>28</v>
      </c>
      <c r="C16" s="7">
        <f>IF(AND(OR(B16="M",B16="T",B16="F"),NOT(OR(B15="M",B15="T",B15="F"))),1,0)</f>
      </c>
      <c r="E16" s="8" t="s">
        <v>41</v>
      </c>
      <c r="F16" s="8">
        <f>COUNTA($B$4:$B$33)</f>
      </c>
    </row>
    <row r="17" spans="1:3" x14ac:dyDescent="0.25">
      <c r="A17">
        <v>14</v>
      </c>
      <c r="B17" s="6" t="s">
        <v>28</v>
      </c>
      <c r="C17" s="7">
        <f>IF(AND(OR(B17="M",B17="T",B17="F"),NOT(OR(B16="M",B16="T",B16="F"))),1,0)</f>
      </c>
    </row>
    <row r="18" spans="1:5" x14ac:dyDescent="0.25">
      <c r="A18">
        <v>15</v>
      </c>
      <c r="B18" s="9" t="s">
        <v>42</v>
      </c>
      <c r="C18" s="7">
        <f>IF(AND(OR(B18="M",B18="T",B18="F"),NOT(OR(B17="M",B17="T",B17="F"))),1,0)</f>
      </c>
      <c r="E18" s="2" t="s">
        <v>43</v>
      </c>
    </row>
    <row r="19" spans="1:6" x14ac:dyDescent="0.25">
      <c r="A19">
        <v>16</v>
      </c>
      <c r="B19" s="9" t="s">
        <v>42</v>
      </c>
      <c r="C19" s="7">
        <f>IF(AND(OR(B19="M",B19="T",B19="F"),NOT(OR(B18="M",B18="T",B18="F"))),1,0)</f>
      </c>
      <c r="E19" t="s">
        <v>44</v>
      </c>
      <c r="F19">
        <f>F5+F6+F7+F8+F9+F10</f>
      </c>
    </row>
    <row r="20" spans="1:6" x14ac:dyDescent="0.25">
      <c r="A20">
        <v>17</v>
      </c>
      <c r="B20" s="6" t="s">
        <v>28</v>
      </c>
      <c r="C20" s="7">
        <f>IF(AND(OR(B20="M",B20="T",B20="F"),NOT(OR(B19="M",B19="T",B19="F"))),1,0)</f>
      </c>
      <c r="E20" t="s">
        <v>45</v>
      </c>
      <c r="F20">
        <f>F13+F14+F15+F12+F11</f>
      </c>
    </row>
    <row r="21" spans="1:6" x14ac:dyDescent="0.25">
      <c r="A21">
        <v>18</v>
      </c>
      <c r="B21" s="6" t="s">
        <v>28</v>
      </c>
      <c r="C21" s="7">
        <f>IF(AND(OR(B21="M",B21="T",B21="F"),NOT(OR(B20="M",B20="T",B20="F"))),1,0)</f>
      </c>
      <c r="E21" t="s">
        <v>46</v>
      </c>
      <c r="F21">
        <f>SUM($C$4:$C$33)</f>
      </c>
    </row>
    <row r="22" spans="1:6" x14ac:dyDescent="0.25">
      <c r="A22">
        <v>19</v>
      </c>
      <c r="B22" s="6" t="s">
        <v>28</v>
      </c>
      <c r="C22" s="7">
        <f>IF(AND(OR(B22="M",B22="T",B22="F"),NOT(OR(B21="M",B21="T",B21="F"))),1,0)</f>
      </c>
      <c r="E22" t="s">
        <v>47</v>
      </c>
      <c r="F22" s="10">
        <f>F19/F16</f>
      </c>
    </row>
    <row r="23" spans="1:6" x14ac:dyDescent="0.25">
      <c r="A23">
        <v>20</v>
      </c>
      <c r="B23" s="6" t="s">
        <v>28</v>
      </c>
      <c r="C23" s="7">
        <f>IF(AND(OR(B23="M",B23="T",B23="F"),NOT(OR(B22="M",B22="T",B22="F"))),1,0)</f>
      </c>
      <c r="E23" t="s">
        <v>48</v>
      </c>
      <c r="F23" s="11">
        <f>IF(F21=0,F19,F19/F21)</f>
      </c>
    </row>
    <row r="24" spans="1:6" x14ac:dyDescent="0.25">
      <c r="A24">
        <v>21</v>
      </c>
      <c r="B24" s="6" t="s">
        <v>28</v>
      </c>
      <c r="C24" s="7">
        <f>IF(AND(OR(B24="M",B24="T",B24="F"),NOT(OR(B23="M",B23="T",B23="F"))),1,0)</f>
      </c>
      <c r="E24" t="s">
        <v>49</v>
      </c>
      <c r="F24" s="11">
        <f>IF(F21=0,0,(F13+F14)/F21)</f>
      </c>
    </row>
    <row r="25" spans="1:6" x14ac:dyDescent="0.25">
      <c r="A25">
        <v>22</v>
      </c>
      <c r="B25" s="6" t="s">
        <v>28</v>
      </c>
      <c r="C25" s="7">
        <f>IF(AND(OR(B25="M",B25="T",B25="F"),NOT(OR(B24="M",B24="T",B24="F"))),1,0)</f>
      </c>
      <c r="E25" t="s">
        <v>50</v>
      </c>
      <c r="F25" s="10">
        <f>IF((F23+F24)=0,1,F23/(F23+F24))</f>
      </c>
    </row>
    <row r="26" spans="1:6" x14ac:dyDescent="0.25">
      <c r="A26">
        <v>23</v>
      </c>
      <c r="B26" s="6" t="s">
        <v>28</v>
      </c>
      <c r="C26" s="7">
        <f>IF(AND(OR(B26="M",B26="T",B26="F"),NOT(OR(B25="M",B25="T",B25="F"))),1,0)</f>
      </c>
      <c r="E26" t="s">
        <v>51</v>
      </c>
      <c r="F26" s="10">
        <f>(F5+F7+F6)/F16</f>
      </c>
    </row>
    <row r="27" spans="1:6" x14ac:dyDescent="0.25">
      <c r="A27">
        <v>24</v>
      </c>
      <c r="B27" s="6" t="s">
        <v>28</v>
      </c>
      <c r="C27" s="7">
        <f>IF(AND(OR(B27="M",B27="T",B27="F"),NOT(OR(B26="M",B26="T",B26="F"))),1,0)</f>
      </c>
      <c r="E27" t="s">
        <v>52</v>
      </c>
      <c r="F27">
        <f>MAX(F21-1,0)</f>
      </c>
    </row>
    <row r="28" spans="1:6" x14ac:dyDescent="0.25">
      <c r="A28">
        <v>25</v>
      </c>
      <c r="B28" s="6" t="s">
        <v>28</v>
      </c>
      <c r="C28" s="7">
        <f>IF(AND(OR(B28="M",B28="T",B28="F"),NOT(OR(B27="M",B27="T",B27="F"))),1,0)</f>
      </c>
      <c r="E28" t="s">
        <v>53</v>
      </c>
      <c r="F28" s="10">
        <f>IF(F21=0,1,1/F21)</f>
      </c>
    </row>
    <row r="29" spans="1:6" x14ac:dyDescent="0.25">
      <c r="A29">
        <v>26</v>
      </c>
      <c r="B29" s="6" t="s">
        <v>28</v>
      </c>
      <c r="C29" s="7">
        <f>IF(AND(OR(B29="M",B29="T",B29="F"),NOT(OR(B28="M",B28="T",B28="F"))),1,0)</f>
      </c>
      <c r="E29" s="12" t="s">
        <v>54</v>
      </c>
      <c r="F29" s="13">
        <f>F22*F28</f>
      </c>
    </row>
    <row r="30" spans="1:3" x14ac:dyDescent="0.25">
      <c r="A30">
        <v>27</v>
      </c>
      <c r="B30" s="6" t="s">
        <v>28</v>
      </c>
      <c r="C30" s="7">
        <f>IF(AND(OR(B30="M",B30="T",B30="F"),NOT(OR(B29="M",B29="T",B29="F"))),1,0)</f>
      </c>
    </row>
    <row r="31" spans="1:3" x14ac:dyDescent="0.25">
      <c r="A31">
        <v>28</v>
      </c>
      <c r="B31" s="14" t="s">
        <v>55</v>
      </c>
      <c r="C31" s="7">
        <f>IF(AND(OR(B31="M",B31="T",B31="F"),NOT(OR(B30="M",B30="T",B30="F"))),1,0)</f>
      </c>
    </row>
    <row r="32" spans="1:3" x14ac:dyDescent="0.25">
      <c r="A32">
        <v>29</v>
      </c>
      <c r="B32" s="14" t="s">
        <v>55</v>
      </c>
      <c r="C32" s="7">
        <f>IF(AND(OR(B32="M",B32="T",B32="F"),NOT(OR(B31="M",B31="T",B31="F"))),1,0)</f>
      </c>
    </row>
    <row r="33" spans="1:3" x14ac:dyDescent="0.25">
      <c r="A33">
        <v>30</v>
      </c>
      <c r="B33" s="14" t="s">
        <v>55</v>
      </c>
      <c r="C33" s="7">
        <f>IF(AND(OR(B33="M",B33="T",B33="F"),NOT(OR(B32="M",B32="T",B32="F"))),1,0)</f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0" customWidth="1"/>
    <col min="3" max="3" width="12" customWidth="1"/>
    <col min="4" max="4" width="2" customWidth="1"/>
    <col min="5" max="5" width="34" customWidth="1"/>
    <col min="6" max="6" width="14" customWidth="1"/>
  </cols>
  <sheetData>
    <row r="1" spans="1:6" x14ac:dyDescent="0.25">
      <c r="A1" s="1" t="s">
        <v>56</v>
      </c>
      <c r="B1" s="1"/>
      <c r="C1" s="1"/>
      <c r="D1" s="1"/>
      <c r="E1" s="1"/>
      <c r="F1" s="1"/>
    </row>
    <row r="2" spans="1:6" x14ac:dyDescent="0.25">
      <c r="A2" s="4" t="s">
        <v>57</v>
      </c>
      <c r="B2" s="4"/>
      <c r="C2" s="4"/>
      <c r="D2" s="4"/>
      <c r="E2" s="4"/>
      <c r="F2" s="4"/>
    </row>
    <row r="3" spans="1:3" x14ac:dyDescent="0.25">
      <c r="A3" s="5" t="s">
        <v>25</v>
      </c>
      <c r="B3" s="5" t="s">
        <v>26</v>
      </c>
      <c r="C3" s="5" t="s">
        <v>27</v>
      </c>
    </row>
    <row r="4" spans="1:5" x14ac:dyDescent="0.25">
      <c r="A4">
        <v>1</v>
      </c>
      <c r="B4" s="6" t="s">
        <v>28</v>
      </c>
      <c r="C4" s="7">
        <f>IF(AND(OR(B4="M",B4="T",B4="F"),NOT(OR(B3="M",B3="T",B3="F"))),1,0)</f>
      </c>
      <c r="E4" s="2" t="s">
        <v>29</v>
      </c>
    </row>
    <row r="5" spans="1:6" x14ac:dyDescent="0.25">
      <c r="A5">
        <v>2</v>
      </c>
      <c r="B5" s="6" t="s">
        <v>28</v>
      </c>
      <c r="C5" s="7">
        <f>IF(AND(OR(B5="M",B5="T",B5="F"),NOT(OR(B4="M",B4="T",B4="F"))),1,0)</f>
      </c>
      <c r="E5" t="s">
        <v>30</v>
      </c>
      <c r="F5">
        <f>COUNTIF($B$4:$B$33,"A")</f>
      </c>
    </row>
    <row r="6" spans="1:6" x14ac:dyDescent="0.25">
      <c r="A6">
        <v>3</v>
      </c>
      <c r="B6" s="6" t="s">
        <v>28</v>
      </c>
      <c r="C6" s="7">
        <f>IF(AND(OR(B6="M",B6="T",B6="F"),NOT(OR(B5="M",B5="T",B5="F"))),1,0)</f>
      </c>
      <c r="E6" t="s">
        <v>31</v>
      </c>
      <c r="F6">
        <f>COUNTIF($B$4:$B$33,"C")</f>
      </c>
    </row>
    <row r="7" spans="1:6" x14ac:dyDescent="0.25">
      <c r="A7">
        <v>4</v>
      </c>
      <c r="B7" s="6" t="s">
        <v>28</v>
      </c>
      <c r="C7" s="7">
        <f>IF(AND(OR(B7="M",B7="T",B7="F"),NOT(OR(B6="M",B6="T",B6="F"))),1,0)</f>
      </c>
      <c r="E7" t="s">
        <v>32</v>
      </c>
      <c r="F7">
        <f>COUNTIF($B$4:$B$33,"L")</f>
      </c>
    </row>
    <row r="8" spans="1:6" x14ac:dyDescent="0.25">
      <c r="A8">
        <v>5</v>
      </c>
      <c r="B8" s="6" t="s">
        <v>28</v>
      </c>
      <c r="C8" s="7">
        <f>IF(AND(OR(B8="M",B8="T",B8="F"),NOT(OR(B7="M",B7="T",B7="F"))),1,0)</f>
      </c>
      <c r="E8" t="s">
        <v>33</v>
      </c>
      <c r="F8">
        <f>COUNTIF($B$4:$B$33,"U")</f>
      </c>
    </row>
    <row r="9" spans="1:6" x14ac:dyDescent="0.25">
      <c r="A9">
        <v>6</v>
      </c>
      <c r="B9" s="6" t="s">
        <v>28</v>
      </c>
      <c r="C9" s="7">
        <f>IF(AND(OR(B9="M",B9="T",B9="F"),NOT(OR(B8="M",B8="T",B8="F"))),1,0)</f>
      </c>
      <c r="E9" t="s">
        <v>34</v>
      </c>
      <c r="F9">
        <f>COUNTIF($B$4:$B$33,"D")</f>
      </c>
    </row>
    <row r="10" spans="1:6" x14ac:dyDescent="0.25">
      <c r="A10">
        <v>7</v>
      </c>
      <c r="B10" s="6" t="s">
        <v>28</v>
      </c>
      <c r="C10" s="7">
        <f>IF(AND(OR(B10="M",B10="T",B10="F"),NOT(OR(B9="M",B9="T",B9="F"))),1,0)</f>
      </c>
      <c r="E10" t="s">
        <v>35</v>
      </c>
      <c r="F10">
        <f>COUNTIF($B$4:$B$33,"V")</f>
      </c>
    </row>
    <row r="11" spans="1:6" x14ac:dyDescent="0.25">
      <c r="A11">
        <v>8</v>
      </c>
      <c r="B11" s="6" t="s">
        <v>28</v>
      </c>
      <c r="C11" s="7">
        <f>IF(AND(OR(B11="M",B11="T",B11="F"),NOT(OR(B10="M",B10="T",B10="F"))),1,0)</f>
      </c>
      <c r="E11" t="s">
        <v>36</v>
      </c>
      <c r="F11">
        <f>COUNTIF($B$4:$B$33,"H")</f>
      </c>
    </row>
    <row r="12" spans="1:6" x14ac:dyDescent="0.25">
      <c r="A12">
        <v>9</v>
      </c>
      <c r="B12" s="6" t="s">
        <v>28</v>
      </c>
      <c r="C12" s="7">
        <f>IF(AND(OR(B12="M",B12="T",B12="F"),NOT(OR(B11="M",B11="T",B11="F"))),1,0)</f>
      </c>
      <c r="E12" t="s">
        <v>37</v>
      </c>
      <c r="F12">
        <f>COUNTIF($B$4:$B$33,"R")</f>
      </c>
    </row>
    <row r="13" spans="1:6" x14ac:dyDescent="0.25">
      <c r="A13">
        <v>10</v>
      </c>
      <c r="B13" s="6" t="s">
        <v>28</v>
      </c>
      <c r="C13" s="7">
        <f>IF(AND(OR(B13="M",B13="T",B13="F"),NOT(OR(B12="M",B12="T",B12="F"))),1,0)</f>
      </c>
      <c r="E13" t="s">
        <v>38</v>
      </c>
      <c r="F13">
        <f>COUNTIF($B$4:$B$33,"M")</f>
      </c>
    </row>
    <row r="14" spans="1:6" x14ac:dyDescent="0.25">
      <c r="A14">
        <v>11</v>
      </c>
      <c r="B14" s="9" t="s">
        <v>42</v>
      </c>
      <c r="C14" s="7">
        <f>IF(AND(OR(B14="M",B14="T",B14="F"),NOT(OR(B13="M",B13="T",B13="F"))),1,0)</f>
      </c>
      <c r="E14" t="s">
        <v>39</v>
      </c>
      <c r="F14">
        <f>COUNTIF($B$4:$B$33,"T")</f>
      </c>
    </row>
    <row r="15" spans="1:6" x14ac:dyDescent="0.25">
      <c r="A15">
        <v>12</v>
      </c>
      <c r="B15" s="9" t="s">
        <v>42</v>
      </c>
      <c r="C15" s="7">
        <f>IF(AND(OR(B15="M",B15="T",B15="F"),NOT(OR(B14="M",B14="T",B14="F"))),1,0)</f>
      </c>
      <c r="E15" t="s">
        <v>40</v>
      </c>
      <c r="F15">
        <f>COUNTIF($B$4:$B$33,"F")</f>
      </c>
    </row>
    <row r="16" spans="1:6" x14ac:dyDescent="0.25">
      <c r="A16">
        <v>13</v>
      </c>
      <c r="B16" s="9" t="s">
        <v>42</v>
      </c>
      <c r="C16" s="7">
        <f>IF(AND(OR(B16="M",B16="T",B16="F"),NOT(OR(B15="M",B15="T",B15="F"))),1,0)</f>
      </c>
      <c r="E16" s="8" t="s">
        <v>41</v>
      </c>
      <c r="F16" s="8">
        <f>COUNTA($B$4:$B$33)</f>
      </c>
    </row>
    <row r="17" spans="1:3" x14ac:dyDescent="0.25">
      <c r="A17">
        <v>14</v>
      </c>
      <c r="B17" s="9" t="s">
        <v>42</v>
      </c>
      <c r="C17" s="7">
        <f>IF(AND(OR(B17="M",B17="T",B17="F"),NOT(OR(B16="M",B16="T",B16="F"))),1,0)</f>
      </c>
    </row>
    <row r="18" spans="1:5" x14ac:dyDescent="0.25">
      <c r="A18">
        <v>15</v>
      </c>
      <c r="B18" s="14" t="s">
        <v>55</v>
      </c>
      <c r="C18" s="7">
        <f>IF(AND(OR(B18="M",B18="T",B18="F"),NOT(OR(B17="M",B17="T",B17="F"))),1,0)</f>
      </c>
      <c r="E18" s="2" t="s">
        <v>43</v>
      </c>
    </row>
    <row r="19" spans="1:6" x14ac:dyDescent="0.25">
      <c r="A19">
        <v>16</v>
      </c>
      <c r="B19" s="14" t="s">
        <v>55</v>
      </c>
      <c r="C19" s="7">
        <f>IF(AND(OR(B19="M",B19="T",B19="F"),NOT(OR(B18="M",B18="T",B18="F"))),1,0)</f>
      </c>
      <c r="E19" t="s">
        <v>44</v>
      </c>
      <c r="F19">
        <f>F5+F6+F7+F8+F9+F10</f>
      </c>
    </row>
    <row r="20" spans="1:6" x14ac:dyDescent="0.25">
      <c r="A20">
        <v>17</v>
      </c>
      <c r="B20" s="6" t="s">
        <v>28</v>
      </c>
      <c r="C20" s="7">
        <f>IF(AND(OR(B20="M",B20="T",B20="F"),NOT(OR(B19="M",B19="T",B19="F"))),1,0)</f>
      </c>
      <c r="E20" t="s">
        <v>45</v>
      </c>
      <c r="F20">
        <f>F13+F14+F15+F12+F11</f>
      </c>
    </row>
    <row r="21" spans="1:6" x14ac:dyDescent="0.25">
      <c r="A21">
        <v>18</v>
      </c>
      <c r="B21" s="6" t="s">
        <v>28</v>
      </c>
      <c r="C21" s="7">
        <f>IF(AND(OR(B21="M",B21="T",B21="F"),NOT(OR(B20="M",B20="T",B20="F"))),1,0)</f>
      </c>
      <c r="E21" t="s">
        <v>46</v>
      </c>
      <c r="F21">
        <f>SUM($C$4:$C$33)</f>
      </c>
    </row>
    <row r="22" spans="1:6" x14ac:dyDescent="0.25">
      <c r="A22">
        <v>19</v>
      </c>
      <c r="B22" s="6" t="s">
        <v>28</v>
      </c>
      <c r="C22" s="7">
        <f>IF(AND(OR(B22="M",B22="T",B22="F"),NOT(OR(B21="M",B21="T",B21="F"))),1,0)</f>
      </c>
      <c r="E22" t="s">
        <v>47</v>
      </c>
      <c r="F22" s="10">
        <f>F19/F16</f>
      </c>
    </row>
    <row r="23" spans="1:6" x14ac:dyDescent="0.25">
      <c r="A23">
        <v>20</v>
      </c>
      <c r="B23" s="6" t="s">
        <v>28</v>
      </c>
      <c r="C23" s="7">
        <f>IF(AND(OR(B23="M",B23="T",B23="F"),NOT(OR(B22="M",B22="T",B22="F"))),1,0)</f>
      </c>
      <c r="E23" t="s">
        <v>48</v>
      </c>
      <c r="F23" s="11">
        <f>IF(F21=0,F19,F19/F21)</f>
      </c>
    </row>
    <row r="24" spans="1:6" x14ac:dyDescent="0.25">
      <c r="A24">
        <v>21</v>
      </c>
      <c r="B24" s="6" t="s">
        <v>28</v>
      </c>
      <c r="C24" s="7">
        <f>IF(AND(OR(B24="M",B24="T",B24="F"),NOT(OR(B23="M",B23="T",B23="F"))),1,0)</f>
      </c>
      <c r="E24" t="s">
        <v>49</v>
      </c>
      <c r="F24" s="11">
        <f>IF(F21=0,0,(F13+F14)/F21)</f>
      </c>
    </row>
    <row r="25" spans="1:6" x14ac:dyDescent="0.25">
      <c r="A25">
        <v>22</v>
      </c>
      <c r="B25" s="6" t="s">
        <v>28</v>
      </c>
      <c r="C25" s="7">
        <f>IF(AND(OR(B25="M",B25="T",B25="F"),NOT(OR(B24="M",B24="T",B24="F"))),1,0)</f>
      </c>
      <c r="E25" t="s">
        <v>50</v>
      </c>
      <c r="F25" s="10">
        <f>IF((F23+F24)=0,1,F23/(F23+F24))</f>
      </c>
    </row>
    <row r="26" spans="1:6" x14ac:dyDescent="0.25">
      <c r="A26">
        <v>23</v>
      </c>
      <c r="B26" s="15" t="s">
        <v>58</v>
      </c>
      <c r="C26" s="7">
        <f>IF(AND(OR(B26="M",B26="T",B26="F"),NOT(OR(B25="M",B25="T",B25="F"))),1,0)</f>
      </c>
      <c r="E26" t="s">
        <v>51</v>
      </c>
      <c r="F26" s="10">
        <f>(F5+F7+F6)/F16</f>
      </c>
    </row>
    <row r="27" spans="1:6" x14ac:dyDescent="0.25">
      <c r="A27">
        <v>24</v>
      </c>
      <c r="B27" s="16" t="s">
        <v>59</v>
      </c>
      <c r="C27" s="7">
        <f>IF(AND(OR(B27="M",B27="T",B27="F"),NOT(OR(B26="M",B26="T",B26="F"))),1,0)</f>
      </c>
      <c r="E27" t="s">
        <v>52</v>
      </c>
      <c r="F27">
        <f>MAX(F21-1,0)</f>
      </c>
    </row>
    <row r="28" spans="1:6" x14ac:dyDescent="0.25">
      <c r="A28">
        <v>25</v>
      </c>
      <c r="B28" s="16" t="s">
        <v>59</v>
      </c>
      <c r="C28" s="7">
        <f>IF(AND(OR(B28="M",B28="T",B28="F"),NOT(OR(B27="M",B27="T",B27="F"))),1,0)</f>
      </c>
      <c r="E28" t="s">
        <v>53</v>
      </c>
      <c r="F28" s="10">
        <f>IF(F21=0,1,1/F21)</f>
      </c>
    </row>
    <row r="29" spans="1:6" x14ac:dyDescent="0.25">
      <c r="A29">
        <v>26</v>
      </c>
      <c r="B29" s="17" t="s">
        <v>60</v>
      </c>
      <c r="C29" s="7">
        <f>IF(AND(OR(B29="M",B29="T",B29="F"),NOT(OR(B28="M",B28="T",B28="F"))),1,0)</f>
      </c>
      <c r="E29" s="12" t="s">
        <v>54</v>
      </c>
      <c r="F29" s="13">
        <f>F22*F28</f>
      </c>
    </row>
    <row r="30" spans="1:3" x14ac:dyDescent="0.25">
      <c r="A30">
        <v>27</v>
      </c>
      <c r="B30" s="17" t="s">
        <v>60</v>
      </c>
      <c r="C30" s="7">
        <f>IF(AND(OR(B30="M",B30="T",B30="F"),NOT(OR(B29="M",B29="T",B29="F"))),1,0)</f>
      </c>
    </row>
    <row r="31" spans="1:3" x14ac:dyDescent="0.25">
      <c r="A31">
        <v>28</v>
      </c>
      <c r="B31" s="18" t="s">
        <v>61</v>
      </c>
      <c r="C31" s="7">
        <f>IF(AND(OR(B31="M",B31="T",B31="F"),NOT(OR(B30="M",B30="T",B30="F"))),1,0)</f>
      </c>
    </row>
    <row r="32" spans="1:3" x14ac:dyDescent="0.25">
      <c r="A32">
        <v>29</v>
      </c>
      <c r="B32" s="18" t="s">
        <v>61</v>
      </c>
      <c r="C32" s="7">
        <f>IF(AND(OR(B32="M",B32="T",B32="F"),NOT(OR(B31="M",B31="T",B31="F"))),1,0)</f>
      </c>
    </row>
    <row r="33" spans="1:3" x14ac:dyDescent="0.25">
      <c r="A33">
        <v>30</v>
      </c>
      <c r="B33" s="18" t="s">
        <v>61</v>
      </c>
      <c r="C33" s="7">
        <f>IF(AND(OR(B33="M",B33="T",B33="F"),NOT(OR(B32="M",B32="T",B32="F"))),1,0)</f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Definiciones</vt:lpstr>
      <vt:lpstr>Ejemplo A - Sano</vt:lpstr>
      <vt:lpstr>Ejemplo B - Problema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SICOM-ICEO</dc:creator>
  <dc:title/>
  <dc:subject/>
  <dc:description/>
  <cp:keywords/>
  <cp:category/>
  <cp:lastModifiedBy>Unknown</cp:lastModifiedBy>
  <dcterms:created xsi:type="dcterms:W3CDTF">2026-06-24T20:36:09Z</dcterms:created>
  <dcterms:modified xsi:type="dcterms:W3CDTF">2026-06-24T20:36:09Z</dcterms:modified>
</cp:coreProperties>
</file>